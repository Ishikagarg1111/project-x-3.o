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1059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1" i="1" l="1"/>
  <c r="H11" i="1"/>
  <c r="J11" i="1"/>
  <c r="D11" i="1"/>
  <c r="J9" i="1" l="1"/>
  <c r="H9" i="1"/>
  <c r="F9" i="1"/>
  <c r="D9" i="1"/>
</calcChain>
</file>

<file path=xl/sharedStrings.xml><?xml version="1.0" encoding="utf-8"?>
<sst xmlns="http://schemas.openxmlformats.org/spreadsheetml/2006/main" count="22" uniqueCount="15">
  <si>
    <t>2 link revolute arm</t>
  </si>
  <si>
    <t>3 link revolute arm</t>
  </si>
  <si>
    <t>Linear lift with a short arm</t>
  </si>
  <si>
    <t>Telescopic arm</t>
  </si>
  <si>
    <t>Criteria</t>
  </si>
  <si>
    <t>Reach to stowed ratio</t>
  </si>
  <si>
    <t>No. of actuators</t>
  </si>
  <si>
    <t>Torque on the base joint</t>
  </si>
  <si>
    <t>Stiffness and backslash</t>
  </si>
  <si>
    <t>Precision</t>
  </si>
  <si>
    <t>Complexity</t>
  </si>
  <si>
    <t>Score</t>
  </si>
  <si>
    <t>Total</t>
  </si>
  <si>
    <t>Weight</t>
  </si>
  <si>
    <t>Total/5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</si>
</sst>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1" sqref="E11"/>
    </sheetView>
  </sheetViews>
  <sheetFormatPr defaultRowHeight="14.4" x14ac:dyDescent="0.3"/>
  <cols>
    <col min="1" max="1" width="20.21875" customWidth="1"/>
    <col min="2" max="2" width="8.5546875" customWidth="1"/>
    <col min="3" max="3" width="11.88671875" customWidth="1"/>
    <col min="4" max="4" width="10" customWidth="1"/>
    <col min="5" max="5" width="11.88671875" customWidth="1"/>
    <col min="6" max="6" width="10.21875" customWidth="1"/>
    <col min="7" max="7" width="12.33203125" customWidth="1"/>
    <col min="8" max="8" width="11.21875" customWidth="1"/>
    <col min="9" max="9" width="10" customWidth="1"/>
    <col min="10" max="10" width="9.6640625" customWidth="1"/>
  </cols>
  <sheetData>
    <row r="1" spans="1:10" x14ac:dyDescent="0.3">
      <c r="C1" s="2" t="s">
        <v>0</v>
      </c>
      <c r="D1" s="2"/>
      <c r="E1" s="2" t="s">
        <v>1</v>
      </c>
      <c r="F1" s="2"/>
      <c r="G1" s="1" t="s">
        <v>2</v>
      </c>
      <c r="H1" s="1"/>
      <c r="I1" s="2" t="s">
        <v>3</v>
      </c>
      <c r="J1" s="2"/>
    </row>
    <row r="2" spans="1:10" x14ac:dyDescent="0.3">
      <c r="A2" t="s">
        <v>4</v>
      </c>
      <c r="B2" t="s">
        <v>13</v>
      </c>
      <c r="C2" t="s">
        <v>11</v>
      </c>
      <c r="D2" t="s">
        <v>12</v>
      </c>
      <c r="E2" t="s">
        <v>11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</row>
    <row r="3" spans="1:10" x14ac:dyDescent="0.3">
      <c r="A3" t="s">
        <v>5</v>
      </c>
      <c r="B3">
        <v>25</v>
      </c>
      <c r="C3">
        <v>3</v>
      </c>
      <c r="D3">
        <v>75</v>
      </c>
      <c r="E3">
        <v>3</v>
      </c>
      <c r="F3">
        <v>75</v>
      </c>
      <c r="G3">
        <v>3</v>
      </c>
      <c r="H3">
        <v>75</v>
      </c>
      <c r="I3">
        <v>5</v>
      </c>
      <c r="J3">
        <v>125</v>
      </c>
    </row>
    <row r="4" spans="1:10" x14ac:dyDescent="0.3">
      <c r="A4" t="s">
        <v>6</v>
      </c>
      <c r="B4">
        <v>15</v>
      </c>
      <c r="C4">
        <v>2</v>
      </c>
      <c r="D4">
        <v>30</v>
      </c>
      <c r="E4">
        <v>3</v>
      </c>
      <c r="F4">
        <v>45</v>
      </c>
      <c r="G4">
        <v>2</v>
      </c>
      <c r="H4">
        <v>30</v>
      </c>
      <c r="I4">
        <v>1</v>
      </c>
      <c r="J4">
        <v>15</v>
      </c>
    </row>
    <row r="5" spans="1:10" x14ac:dyDescent="0.3">
      <c r="A5" t="s">
        <v>7</v>
      </c>
      <c r="B5">
        <v>20</v>
      </c>
      <c r="C5">
        <v>3</v>
      </c>
      <c r="D5">
        <v>60</v>
      </c>
      <c r="E5">
        <v>2</v>
      </c>
      <c r="F5">
        <v>40</v>
      </c>
      <c r="G5">
        <v>5</v>
      </c>
      <c r="H5">
        <v>100</v>
      </c>
      <c r="I5">
        <v>3</v>
      </c>
      <c r="J5">
        <v>60</v>
      </c>
    </row>
    <row r="6" spans="1:10" x14ac:dyDescent="0.3">
      <c r="A6" t="s">
        <v>8</v>
      </c>
      <c r="B6">
        <v>15</v>
      </c>
      <c r="C6">
        <v>4</v>
      </c>
      <c r="D6">
        <v>60</v>
      </c>
      <c r="E6">
        <v>3</v>
      </c>
      <c r="F6">
        <v>45</v>
      </c>
      <c r="G6">
        <v>5</v>
      </c>
      <c r="H6">
        <v>75</v>
      </c>
      <c r="I6">
        <v>2</v>
      </c>
      <c r="J6">
        <v>30</v>
      </c>
    </row>
    <row r="7" spans="1:10" x14ac:dyDescent="0.3">
      <c r="A7" t="s">
        <v>9</v>
      </c>
      <c r="B7">
        <v>15</v>
      </c>
      <c r="C7">
        <v>3</v>
      </c>
      <c r="D7">
        <v>45</v>
      </c>
      <c r="E7">
        <v>5</v>
      </c>
      <c r="F7">
        <v>75</v>
      </c>
      <c r="G7">
        <v>4</v>
      </c>
      <c r="H7">
        <v>60</v>
      </c>
      <c r="I7">
        <v>2</v>
      </c>
      <c r="J7">
        <v>30</v>
      </c>
    </row>
    <row r="8" spans="1:10" x14ac:dyDescent="0.3">
      <c r="A8" t="s">
        <v>10</v>
      </c>
      <c r="B8">
        <v>10</v>
      </c>
      <c r="C8">
        <v>5</v>
      </c>
      <c r="D8">
        <v>50</v>
      </c>
      <c r="E8">
        <v>2</v>
      </c>
      <c r="F8">
        <v>20</v>
      </c>
      <c r="G8">
        <v>3</v>
      </c>
      <c r="H8">
        <v>30</v>
      </c>
      <c r="I8">
        <v>2</v>
      </c>
      <c r="J8">
        <v>20</v>
      </c>
    </row>
    <row r="9" spans="1:10" x14ac:dyDescent="0.3">
      <c r="A9" t="s">
        <v>12</v>
      </c>
      <c r="D9">
        <f>SUM(D3:D8)</f>
        <v>320</v>
      </c>
      <c r="F9">
        <f>SUM(F3:F8)</f>
        <v>300</v>
      </c>
      <c r="H9">
        <f>SUM(H3:H8)</f>
        <v>370</v>
      </c>
      <c r="J9">
        <f>SUM(J3:J8)</f>
        <v>280</v>
      </c>
    </row>
    <row r="11" spans="1:10" x14ac:dyDescent="0.3">
      <c r="A11" t="s">
        <v>14</v>
      </c>
      <c r="D11">
        <f>D9/5</f>
        <v>64</v>
      </c>
      <c r="F11">
        <f t="shared" ref="E11:K11" si="0">F9/5</f>
        <v>60</v>
      </c>
      <c r="H11">
        <f t="shared" si="0"/>
        <v>74</v>
      </c>
      <c r="J11">
        <f t="shared" si="0"/>
        <v>56</v>
      </c>
    </row>
  </sheetData>
  <mergeCells count="3">
    <mergeCell ref="C1:D1"/>
    <mergeCell ref="E1:F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amitchoudhary9119@outlook.com</dc:creator>
  <cp:lastModifiedBy>amitchoudhary9119@outlook.com</cp:lastModifiedBy>
  <dcterms:created xsi:type="dcterms:W3CDTF">2026-10-26T04:11:59Z</dcterms:created>
  <dcterms:modified xsi:type="dcterms:W3CDTF">2026-10-26T04:48:03Z</dcterms:modified>
</cp:coreProperties>
</file>